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ba3bc27b06c95908/Desktop/Projectdata/"/>
    </mc:Choice>
  </mc:AlternateContent>
  <xr:revisionPtr revIDLastSave="0" documentId="11_F2C10E6BAC1E5D29CEA3BDC2E81D0CACB6925078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_Tasks" sheetId="1" r:id="rId1"/>
    <sheet name="Cost_Tracker" sheetId="2" r:id="rId2"/>
    <sheet name="⚙️ Config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2" l="1"/>
  <c r="E14" i="2"/>
  <c r="D14" i="2"/>
  <c r="J13" i="2"/>
  <c r="I13" i="2"/>
  <c r="G13" i="2"/>
  <c r="F13" i="2"/>
  <c r="J12" i="2"/>
  <c r="I12" i="2"/>
  <c r="G12" i="2"/>
  <c r="F12" i="2"/>
  <c r="J11" i="2"/>
  <c r="I11" i="2"/>
  <c r="G11" i="2"/>
  <c r="F11" i="2"/>
  <c r="J10" i="2"/>
  <c r="I10" i="2"/>
  <c r="G10" i="2"/>
  <c r="F10" i="2"/>
  <c r="J9" i="2"/>
  <c r="I9" i="2"/>
  <c r="G9" i="2"/>
  <c r="F9" i="2"/>
  <c r="J8" i="2"/>
  <c r="I8" i="2"/>
  <c r="G8" i="2"/>
  <c r="F8" i="2"/>
  <c r="J7" i="2"/>
  <c r="I7" i="2"/>
  <c r="G7" i="2"/>
  <c r="F7" i="2"/>
  <c r="J6" i="2"/>
  <c r="I6" i="2"/>
  <c r="G6" i="2"/>
  <c r="F6" i="2"/>
  <c r="J5" i="2"/>
  <c r="I5" i="2"/>
  <c r="G5" i="2"/>
  <c r="F5" i="2"/>
  <c r="J4" i="2"/>
  <c r="I4" i="2"/>
  <c r="G4" i="2"/>
  <c r="F4" i="2"/>
  <c r="J3" i="2"/>
  <c r="I3" i="2"/>
  <c r="G3" i="2"/>
  <c r="F3" i="2"/>
  <c r="J2" i="2"/>
  <c r="I2" i="2"/>
  <c r="G2" i="2"/>
  <c r="F2" i="2"/>
  <c r="F14" i="2" s="1"/>
</calcChain>
</file>

<file path=xl/sharedStrings.xml><?xml version="1.0" encoding="utf-8"?>
<sst xmlns="http://schemas.openxmlformats.org/spreadsheetml/2006/main" count="178" uniqueCount="113">
  <si>
    <t>Task_ID</t>
  </si>
  <si>
    <t>Task_Name</t>
  </si>
  <si>
    <t>WBS</t>
  </si>
  <si>
    <t>Responsible</t>
  </si>
  <si>
    <t>Planned_Start</t>
  </si>
  <si>
    <t>Planned_Finish</t>
  </si>
  <si>
    <t>Actual_Start</t>
  </si>
  <si>
    <t>Actual_Finish</t>
  </si>
  <si>
    <t>Duration_Planned_Days</t>
  </si>
  <si>
    <t>Duration_Actual_Days</t>
  </si>
  <si>
    <t>Planned_Progress_%</t>
  </si>
  <si>
    <t>Actual_Progress_%</t>
  </si>
  <si>
    <t>Status</t>
  </si>
  <si>
    <t>T-01</t>
  </si>
  <si>
    <t>Site Mobilization</t>
  </si>
  <si>
    <t>1.1</t>
  </si>
  <si>
    <t>Civil Team</t>
  </si>
  <si>
    <t>Completed</t>
  </si>
  <si>
    <t>T-02</t>
  </si>
  <si>
    <t>Excavation &amp; Earthworks</t>
  </si>
  <si>
    <t>1.2</t>
  </si>
  <si>
    <t>T-03</t>
  </si>
  <si>
    <t>Foundation Piling</t>
  </si>
  <si>
    <t>1.3</t>
  </si>
  <si>
    <t>Structural Team</t>
  </si>
  <si>
    <t>Delayed</t>
  </si>
  <si>
    <t>T-04</t>
  </si>
  <si>
    <t>Substructure Concrete</t>
  </si>
  <si>
    <t>1.4</t>
  </si>
  <si>
    <t>T-05</t>
  </si>
  <si>
    <t>Superstructure – Level 1</t>
  </si>
  <si>
    <t>2.1</t>
  </si>
  <si>
    <t>T-06</t>
  </si>
  <si>
    <t>Superstructure – Level 2</t>
  </si>
  <si>
    <t>2.2</t>
  </si>
  <si>
    <t>T-07</t>
  </si>
  <si>
    <t>MEP Rough-In – Level 1</t>
  </si>
  <si>
    <t>3.1</t>
  </si>
  <si>
    <t>MEP Team</t>
  </si>
  <si>
    <t>T-08</t>
  </si>
  <si>
    <t>MEP Rough-In – Level 2</t>
  </si>
  <si>
    <t>3.2</t>
  </si>
  <si>
    <t>Not Started</t>
  </si>
  <si>
    <t>T-09</t>
  </si>
  <si>
    <t>Facade &amp; Cladding</t>
  </si>
  <si>
    <t>4.1</t>
  </si>
  <si>
    <t>Facade Team</t>
  </si>
  <si>
    <t>T-10</t>
  </si>
  <si>
    <t>Interior Fit-Out</t>
  </si>
  <si>
    <t>4.2</t>
  </si>
  <si>
    <t>Interior Team</t>
  </si>
  <si>
    <t>T-11</t>
  </si>
  <si>
    <t>Testing &amp; Commissioning</t>
  </si>
  <si>
    <t>5.1</t>
  </si>
  <si>
    <t>QA Team</t>
  </si>
  <si>
    <t>T-12</t>
  </si>
  <si>
    <t>Final Inspection &amp; Handover</t>
  </si>
  <si>
    <t>5.2</t>
  </si>
  <si>
    <t>PM Team</t>
  </si>
  <si>
    <t>Cost_Category</t>
  </si>
  <si>
    <t>Planned_Cost_USD</t>
  </si>
  <si>
    <t>Actual_Cost_USD</t>
  </si>
  <si>
    <t>Cost_Variance_USD</t>
  </si>
  <si>
    <t>Cost_Variance_%</t>
  </si>
  <si>
    <t>Earned_Value_USD</t>
  </si>
  <si>
    <t>CPI</t>
  </si>
  <si>
    <t>SPI</t>
  </si>
  <si>
    <t>Preliminaries</t>
  </si>
  <si>
    <t>Civil</t>
  </si>
  <si>
    <t>Structural</t>
  </si>
  <si>
    <t>MEP</t>
  </si>
  <si>
    <t>Architectural</t>
  </si>
  <si>
    <t>QA</t>
  </si>
  <si>
    <t>Final Inspection</t>
  </si>
  <si>
    <t>Management</t>
  </si>
  <si>
    <t>TOTAL</t>
  </si>
  <si>
    <t>All Categories</t>
  </si>
  <si>
    <t>CONFIGURATION – Change column names here if your real file is different</t>
  </si>
  <si>
    <t>Field</t>
  </si>
  <si>
    <t>Current Column Name in Excel</t>
  </si>
  <si>
    <t>Description</t>
  </si>
  <si>
    <t>Required?</t>
  </si>
  <si>
    <t>task_id</t>
  </si>
  <si>
    <t>Unique ID for each task</t>
  </si>
  <si>
    <t>Yes</t>
  </si>
  <si>
    <t>task_name</t>
  </si>
  <si>
    <t>Description of the task</t>
  </si>
  <si>
    <t>planned_start</t>
  </si>
  <si>
    <t>Planned start date (date format)</t>
  </si>
  <si>
    <t>planned_finish</t>
  </si>
  <si>
    <t>Planned finish date (date format)</t>
  </si>
  <si>
    <t>actual_start</t>
  </si>
  <si>
    <t>Actual start date (blank if not started</t>
  </si>
  <si>
    <t>actual_finish</t>
  </si>
  <si>
    <t>Actual finish date (blank if not done)</t>
  </si>
  <si>
    <t>No</t>
  </si>
  <si>
    <t>planned_progress</t>
  </si>
  <si>
    <t>Planned % complete (0–1 or 0–100)</t>
  </si>
  <si>
    <t>actual_progress</t>
  </si>
  <si>
    <t>Actual % complete (0–1 or 0–100)</t>
  </si>
  <si>
    <t>status</t>
  </si>
  <si>
    <t>Task status label</t>
  </si>
  <si>
    <t>planned_cost</t>
  </si>
  <si>
    <t>Budget for each task</t>
  </si>
  <si>
    <t>actual_cost</t>
  </si>
  <si>
    <t>Spent so far</t>
  </si>
  <si>
    <t>earned_value</t>
  </si>
  <si>
    <t>EV = Planned Cost × Actual %</t>
  </si>
  <si>
    <t>Auto</t>
  </si>
  <si>
    <t>📝 HOW TO USE:</t>
  </si>
  <si>
    <t>1. If your real Excel file uses different column headers, update column B above.</t>
  </si>
  <si>
    <t>2. The pipeline script reads column B to find the right columns automatically.</t>
  </si>
  <si>
    <t>3. Keep the Field names in column A unchanged – they are referenced by the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</si>
</sst>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1"/>
      <color rgb="FF1F4E79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30" customWidth="1"/>
    <col min="3" max="3" width="8" customWidth="1"/>
    <col min="4" max="4" width="16" customWidth="1"/>
    <col min="5" max="8" width="14" customWidth="1"/>
    <col min="9" max="11" width="16" customWidth="1"/>
    <col min="12" max="12" width="14" customWidth="1"/>
    <col min="13" max="13" width="12" customWidth="1"/>
  </cols>
  <sheetData>
    <row r="1" spans="1:13" ht="34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5" t="s">
        <v>13</v>
      </c>
      <c r="B2" s="5" t="s">
        <v>14</v>
      </c>
      <c r="C2" s="5" t="s">
        <v>15</v>
      </c>
      <c r="D2" s="5" t="s">
        <v>16</v>
      </c>
      <c r="E2" s="5">
        <v>45292</v>
      </c>
      <c r="F2" s="5">
        <v>45306</v>
      </c>
      <c r="G2" s="5">
        <v>45292</v>
      </c>
      <c r="H2" s="5">
        <v>45306</v>
      </c>
      <c r="I2" s="5">
        <v>14</v>
      </c>
      <c r="J2" s="5">
        <v>14</v>
      </c>
      <c r="K2" s="5">
        <v>1</v>
      </c>
      <c r="L2" s="5">
        <v>1</v>
      </c>
      <c r="M2" s="6" t="s">
        <v>17</v>
      </c>
    </row>
    <row r="3" spans="1:13" x14ac:dyDescent="0.3">
      <c r="A3" s="5" t="s">
        <v>18</v>
      </c>
      <c r="B3" s="5" t="s">
        <v>19</v>
      </c>
      <c r="C3" s="5" t="s">
        <v>20</v>
      </c>
      <c r="D3" s="5" t="s">
        <v>16</v>
      </c>
      <c r="E3" s="5">
        <v>45302</v>
      </c>
      <c r="F3" s="5">
        <v>45323</v>
      </c>
      <c r="G3" s="5">
        <v>45305</v>
      </c>
      <c r="H3" s="5">
        <v>45329</v>
      </c>
      <c r="I3" s="5">
        <v>21</v>
      </c>
      <c r="J3" s="5">
        <v>24</v>
      </c>
      <c r="K3" s="5">
        <v>1</v>
      </c>
      <c r="L3" s="5">
        <v>1</v>
      </c>
      <c r="M3" s="6" t="s">
        <v>17</v>
      </c>
    </row>
    <row r="4" spans="1:13" x14ac:dyDescent="0.3">
      <c r="A4" s="5" t="s">
        <v>21</v>
      </c>
      <c r="B4" s="5" t="s">
        <v>22</v>
      </c>
      <c r="C4" s="5" t="s">
        <v>23</v>
      </c>
      <c r="D4" s="5" t="s">
        <v>24</v>
      </c>
      <c r="E4" s="5">
        <v>45320</v>
      </c>
      <c r="F4" s="5">
        <v>45350</v>
      </c>
      <c r="G4" s="5">
        <v>45325</v>
      </c>
      <c r="H4" s="5"/>
      <c r="I4" s="5">
        <v>30</v>
      </c>
      <c r="J4" s="5">
        <v>33</v>
      </c>
      <c r="K4" s="5">
        <v>1</v>
      </c>
      <c r="L4" s="5">
        <v>0.95</v>
      </c>
      <c r="M4" s="6" t="s">
        <v>25</v>
      </c>
    </row>
    <row r="5" spans="1:13" x14ac:dyDescent="0.3">
      <c r="A5" s="5" t="s">
        <v>26</v>
      </c>
      <c r="B5" s="5" t="s">
        <v>27</v>
      </c>
      <c r="C5" s="5" t="s">
        <v>28</v>
      </c>
      <c r="D5" s="5" t="s">
        <v>24</v>
      </c>
      <c r="E5" s="5">
        <v>45347</v>
      </c>
      <c r="F5" s="5">
        <v>45372</v>
      </c>
      <c r="G5" s="5">
        <v>45354</v>
      </c>
      <c r="H5" s="5"/>
      <c r="I5" s="5">
        <v>25</v>
      </c>
      <c r="J5" s="5">
        <v>27</v>
      </c>
      <c r="K5" s="5">
        <v>0.9</v>
      </c>
      <c r="L5" s="5">
        <v>0.8</v>
      </c>
      <c r="M5" s="6" t="s">
        <v>25</v>
      </c>
    </row>
    <row r="6" spans="1:13" x14ac:dyDescent="0.3">
      <c r="A6" s="5" t="s">
        <v>29</v>
      </c>
      <c r="B6" s="5" t="s">
        <v>30</v>
      </c>
      <c r="C6" s="5" t="s">
        <v>31</v>
      </c>
      <c r="D6" s="5" t="s">
        <v>24</v>
      </c>
      <c r="E6" s="5">
        <v>45370</v>
      </c>
      <c r="F6" s="5">
        <v>45390</v>
      </c>
      <c r="G6" s="5">
        <v>45374</v>
      </c>
      <c r="H6" s="5"/>
      <c r="I6" s="5">
        <v>20</v>
      </c>
      <c r="J6" s="5">
        <v>16</v>
      </c>
      <c r="K6" s="5">
        <v>0.7</v>
      </c>
      <c r="L6" s="5">
        <v>0.6</v>
      </c>
      <c r="M6" s="6" t="s">
        <v>25</v>
      </c>
    </row>
    <row r="7" spans="1:13" x14ac:dyDescent="0.3">
      <c r="A7" s="5" t="s">
        <v>32</v>
      </c>
      <c r="B7" s="5" t="s">
        <v>33</v>
      </c>
      <c r="C7" s="5" t="s">
        <v>34</v>
      </c>
      <c r="D7" s="5" t="s">
        <v>24</v>
      </c>
      <c r="E7" s="5">
        <v>45387</v>
      </c>
      <c r="F7" s="5">
        <v>45407</v>
      </c>
      <c r="G7" s="5">
        <v>45397</v>
      </c>
      <c r="H7" s="5"/>
      <c r="I7" s="5">
        <v>20</v>
      </c>
      <c r="J7" s="5">
        <v>16</v>
      </c>
      <c r="K7" s="5">
        <v>0.4</v>
      </c>
      <c r="L7" s="5">
        <v>0.3</v>
      </c>
      <c r="M7" s="6" t="s">
        <v>25</v>
      </c>
    </row>
    <row r="8" spans="1:13" x14ac:dyDescent="0.3">
      <c r="A8" s="5" t="s">
        <v>35</v>
      </c>
      <c r="B8" s="5" t="s">
        <v>36</v>
      </c>
      <c r="C8" s="5" t="s">
        <v>37</v>
      </c>
      <c r="D8" s="5" t="s">
        <v>38</v>
      </c>
      <c r="E8" s="5">
        <v>45392</v>
      </c>
      <c r="F8" s="5">
        <v>45410</v>
      </c>
      <c r="G8" s="5">
        <v>45398</v>
      </c>
      <c r="H8" s="5"/>
      <c r="I8" s="5">
        <v>18</v>
      </c>
      <c r="J8" s="5">
        <v>10</v>
      </c>
      <c r="K8" s="5">
        <v>0.35</v>
      </c>
      <c r="L8" s="5">
        <v>0.25</v>
      </c>
      <c r="M8" s="6" t="s">
        <v>25</v>
      </c>
    </row>
    <row r="9" spans="1:13" x14ac:dyDescent="0.3">
      <c r="A9" s="5" t="s">
        <v>39</v>
      </c>
      <c r="B9" s="5" t="s">
        <v>40</v>
      </c>
      <c r="C9" s="5" t="s">
        <v>41</v>
      </c>
      <c r="D9" s="5" t="s">
        <v>38</v>
      </c>
      <c r="E9" s="5">
        <v>45407</v>
      </c>
      <c r="F9" s="5">
        <v>45425</v>
      </c>
      <c r="G9" s="5"/>
      <c r="H9" s="5"/>
      <c r="I9" s="5">
        <v>18</v>
      </c>
      <c r="J9" s="5"/>
      <c r="K9" s="5">
        <v>0.1</v>
      </c>
      <c r="L9" s="5">
        <v>0</v>
      </c>
      <c r="M9" s="6" t="s">
        <v>42</v>
      </c>
    </row>
    <row r="10" spans="1:13" x14ac:dyDescent="0.3">
      <c r="A10" s="5" t="s">
        <v>43</v>
      </c>
      <c r="B10" s="5" t="s">
        <v>44</v>
      </c>
      <c r="C10" s="5" t="s">
        <v>45</v>
      </c>
      <c r="D10" s="5" t="s">
        <v>46</v>
      </c>
      <c r="E10" s="5">
        <v>45412</v>
      </c>
      <c r="F10" s="5">
        <v>45442</v>
      </c>
      <c r="G10" s="5"/>
      <c r="H10" s="5"/>
      <c r="I10" s="5">
        <v>30</v>
      </c>
      <c r="J10" s="5"/>
      <c r="K10" s="5">
        <v>0.1</v>
      </c>
      <c r="L10" s="5">
        <v>0</v>
      </c>
      <c r="M10" s="6" t="s">
        <v>42</v>
      </c>
    </row>
    <row r="11" spans="1:13" x14ac:dyDescent="0.3">
      <c r="A11" s="5" t="s">
        <v>47</v>
      </c>
      <c r="B11" s="5" t="s">
        <v>48</v>
      </c>
      <c r="C11" s="5" t="s">
        <v>49</v>
      </c>
      <c r="D11" s="5" t="s">
        <v>50</v>
      </c>
      <c r="E11" s="5">
        <v>45440</v>
      </c>
      <c r="F11" s="5">
        <v>45465</v>
      </c>
      <c r="G11" s="5"/>
      <c r="H11" s="5"/>
      <c r="I11" s="5">
        <v>25</v>
      </c>
      <c r="J11" s="5"/>
      <c r="K11" s="5">
        <v>0.1</v>
      </c>
      <c r="L11" s="5">
        <v>0</v>
      </c>
      <c r="M11" s="6" t="s">
        <v>42</v>
      </c>
    </row>
    <row r="12" spans="1:13" x14ac:dyDescent="0.3">
      <c r="A12" s="5" t="s">
        <v>51</v>
      </c>
      <c r="B12" s="5" t="s">
        <v>52</v>
      </c>
      <c r="C12" s="5" t="s">
        <v>53</v>
      </c>
      <c r="D12" s="5" t="s">
        <v>54</v>
      </c>
      <c r="E12" s="5">
        <v>45462</v>
      </c>
      <c r="F12" s="5">
        <v>45476</v>
      </c>
      <c r="G12" s="5"/>
      <c r="H12" s="5"/>
      <c r="I12" s="5">
        <v>14</v>
      </c>
      <c r="J12" s="5"/>
      <c r="K12" s="5">
        <v>0.1</v>
      </c>
      <c r="L12" s="5">
        <v>0</v>
      </c>
      <c r="M12" s="6" t="s">
        <v>42</v>
      </c>
    </row>
    <row r="13" spans="1:13" x14ac:dyDescent="0.3">
      <c r="A13" s="5" t="s">
        <v>55</v>
      </c>
      <c r="B13" s="5" t="s">
        <v>56</v>
      </c>
      <c r="C13" s="5" t="s">
        <v>57</v>
      </c>
      <c r="D13" s="5" t="s">
        <v>58</v>
      </c>
      <c r="E13" s="5">
        <v>45474</v>
      </c>
      <c r="F13" s="5">
        <v>45481</v>
      </c>
      <c r="G13" s="5"/>
      <c r="H13" s="5"/>
      <c r="I13" s="5">
        <v>7</v>
      </c>
      <c r="J13" s="5"/>
      <c r="K13" s="5">
        <v>0.1</v>
      </c>
      <c r="L13" s="5">
        <v>0</v>
      </c>
      <c r="M13" s="6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30" customWidth="1"/>
    <col min="3" max="3" width="16" customWidth="1"/>
    <col min="4" max="6" width="18" customWidth="1"/>
    <col min="7" max="7" width="16" customWidth="1"/>
    <col min="8" max="8" width="18" customWidth="1"/>
    <col min="9" max="10" width="10" customWidth="1"/>
  </cols>
  <sheetData>
    <row r="1" spans="1:10" ht="34.5" customHeight="1" x14ac:dyDescent="0.3">
      <c r="A1" s="4" t="s">
        <v>0</v>
      </c>
      <c r="B1" s="4" t="s">
        <v>1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</row>
    <row r="2" spans="1:10" x14ac:dyDescent="0.3">
      <c r="A2" s="5" t="s">
        <v>13</v>
      </c>
      <c r="B2" s="5" t="s">
        <v>14</v>
      </c>
      <c r="C2" s="5" t="s">
        <v>67</v>
      </c>
      <c r="D2" s="5">
        <v>45000</v>
      </c>
      <c r="E2" s="5">
        <v>44500</v>
      </c>
      <c r="F2" s="5">
        <f t="shared" ref="F2:F13" si="0">E2-D2</f>
        <v>-500</v>
      </c>
      <c r="G2" s="5">
        <f t="shared" ref="G2:G13" si="1">IF(D2=0,0,(E2-D2)/D2)</f>
        <v>-1.1111111111111112E-2</v>
      </c>
      <c r="H2" s="5">
        <v>45000</v>
      </c>
      <c r="I2" s="5">
        <f t="shared" ref="I2:I13" si="2">IF(E2=0,"-",H2/E2)</f>
        <v>1.0112359550561798</v>
      </c>
      <c r="J2" s="5">
        <f t="shared" ref="J2:J13" si="3">IF(D2=0,"-",H2/D2)</f>
        <v>1</v>
      </c>
    </row>
    <row r="3" spans="1:10" x14ac:dyDescent="0.3">
      <c r="A3" s="5" t="s">
        <v>18</v>
      </c>
      <c r="B3" s="5" t="s">
        <v>19</v>
      </c>
      <c r="C3" s="5" t="s">
        <v>68</v>
      </c>
      <c r="D3" s="5">
        <v>120000</v>
      </c>
      <c r="E3" s="5">
        <v>131000</v>
      </c>
      <c r="F3" s="5">
        <f t="shared" si="0"/>
        <v>11000</v>
      </c>
      <c r="G3" s="5">
        <f t="shared" si="1"/>
        <v>9.166666666666666E-2</v>
      </c>
      <c r="H3" s="5">
        <v>120000</v>
      </c>
      <c r="I3" s="5">
        <f t="shared" si="2"/>
        <v>0.91603053435114501</v>
      </c>
      <c r="J3" s="5">
        <f t="shared" si="3"/>
        <v>1</v>
      </c>
    </row>
    <row r="4" spans="1:10" x14ac:dyDescent="0.3">
      <c r="A4" s="5" t="s">
        <v>21</v>
      </c>
      <c r="B4" s="5" t="s">
        <v>22</v>
      </c>
      <c r="C4" s="5" t="s">
        <v>69</v>
      </c>
      <c r="D4" s="5">
        <v>280000</v>
      </c>
      <c r="E4" s="5">
        <v>298000</v>
      </c>
      <c r="F4" s="5">
        <f t="shared" si="0"/>
        <v>18000</v>
      </c>
      <c r="G4" s="5">
        <f t="shared" si="1"/>
        <v>6.4285714285714279E-2</v>
      </c>
      <c r="H4" s="5">
        <v>266000</v>
      </c>
      <c r="I4" s="5">
        <f t="shared" si="2"/>
        <v>0.89261744966442957</v>
      </c>
      <c r="J4" s="5">
        <f t="shared" si="3"/>
        <v>0.95</v>
      </c>
    </row>
    <row r="5" spans="1:10" x14ac:dyDescent="0.3">
      <c r="A5" s="5" t="s">
        <v>26</v>
      </c>
      <c r="B5" s="5" t="s">
        <v>27</v>
      </c>
      <c r="C5" s="5" t="s">
        <v>69</v>
      </c>
      <c r="D5" s="5">
        <v>175000</v>
      </c>
      <c r="E5" s="5">
        <v>168000</v>
      </c>
      <c r="F5" s="5">
        <f t="shared" si="0"/>
        <v>-7000</v>
      </c>
      <c r="G5" s="5">
        <f t="shared" si="1"/>
        <v>-0.04</v>
      </c>
      <c r="H5" s="5">
        <v>140000</v>
      </c>
      <c r="I5" s="5">
        <f t="shared" si="2"/>
        <v>0.83333333333333337</v>
      </c>
      <c r="J5" s="5">
        <f t="shared" si="3"/>
        <v>0.8</v>
      </c>
    </row>
    <row r="6" spans="1:10" x14ac:dyDescent="0.3">
      <c r="A6" s="5" t="s">
        <v>29</v>
      </c>
      <c r="B6" s="5" t="s">
        <v>30</v>
      </c>
      <c r="C6" s="5" t="s">
        <v>69</v>
      </c>
      <c r="D6" s="5">
        <v>210000</v>
      </c>
      <c r="E6" s="5">
        <v>195000</v>
      </c>
      <c r="F6" s="5">
        <f t="shared" si="0"/>
        <v>-15000</v>
      </c>
      <c r="G6" s="5">
        <f t="shared" si="1"/>
        <v>-7.1428571428571425E-2</v>
      </c>
      <c r="H6" s="5">
        <v>126000</v>
      </c>
      <c r="I6" s="5">
        <f t="shared" si="2"/>
        <v>0.64615384615384619</v>
      </c>
      <c r="J6" s="5">
        <f t="shared" si="3"/>
        <v>0.6</v>
      </c>
    </row>
    <row r="7" spans="1:10" x14ac:dyDescent="0.3">
      <c r="A7" s="5" t="s">
        <v>32</v>
      </c>
      <c r="B7" s="5" t="s">
        <v>33</v>
      </c>
      <c r="C7" s="5" t="s">
        <v>69</v>
      </c>
      <c r="D7" s="5">
        <v>210000</v>
      </c>
      <c r="E7" s="5">
        <v>82000</v>
      </c>
      <c r="F7" s="5">
        <f t="shared" si="0"/>
        <v>-128000</v>
      </c>
      <c r="G7" s="5">
        <f t="shared" si="1"/>
        <v>-0.60952380952380958</v>
      </c>
      <c r="H7" s="5">
        <v>63000</v>
      </c>
      <c r="I7" s="5">
        <f t="shared" si="2"/>
        <v>0.76829268292682928</v>
      </c>
      <c r="J7" s="5">
        <f t="shared" si="3"/>
        <v>0.3</v>
      </c>
    </row>
    <row r="8" spans="1:10" x14ac:dyDescent="0.3">
      <c r="A8" s="5" t="s">
        <v>35</v>
      </c>
      <c r="B8" s="5" t="s">
        <v>36</v>
      </c>
      <c r="C8" s="5" t="s">
        <v>70</v>
      </c>
      <c r="D8" s="5">
        <v>95000</v>
      </c>
      <c r="E8" s="5">
        <v>28000</v>
      </c>
      <c r="F8" s="5">
        <f t="shared" si="0"/>
        <v>-67000</v>
      </c>
      <c r="G8" s="5">
        <f t="shared" si="1"/>
        <v>-0.70526315789473681</v>
      </c>
      <c r="H8" s="5">
        <v>23750</v>
      </c>
      <c r="I8" s="5">
        <f t="shared" si="2"/>
        <v>0.8482142857142857</v>
      </c>
      <c r="J8" s="5">
        <f t="shared" si="3"/>
        <v>0.25</v>
      </c>
    </row>
    <row r="9" spans="1:10" x14ac:dyDescent="0.3">
      <c r="A9" s="5" t="s">
        <v>39</v>
      </c>
      <c r="B9" s="5" t="s">
        <v>40</v>
      </c>
      <c r="C9" s="5" t="s">
        <v>70</v>
      </c>
      <c r="D9" s="5">
        <v>95000</v>
      </c>
      <c r="E9" s="5">
        <v>0</v>
      </c>
      <c r="F9" s="5">
        <f t="shared" si="0"/>
        <v>-95000</v>
      </c>
      <c r="G9" s="5">
        <f t="shared" si="1"/>
        <v>-1</v>
      </c>
      <c r="H9" s="5">
        <v>0</v>
      </c>
      <c r="I9" s="5" t="str">
        <f t="shared" si="2"/>
        <v>-</v>
      </c>
      <c r="J9" s="5">
        <f t="shared" si="3"/>
        <v>0</v>
      </c>
    </row>
    <row r="10" spans="1:10" x14ac:dyDescent="0.3">
      <c r="A10" s="5" t="s">
        <v>43</v>
      </c>
      <c r="B10" s="5" t="s">
        <v>44</v>
      </c>
      <c r="C10" s="5" t="s">
        <v>71</v>
      </c>
      <c r="D10" s="5">
        <v>185000</v>
      </c>
      <c r="E10" s="5">
        <v>0</v>
      </c>
      <c r="F10" s="5">
        <f t="shared" si="0"/>
        <v>-185000</v>
      </c>
      <c r="G10" s="5">
        <f t="shared" si="1"/>
        <v>-1</v>
      </c>
      <c r="H10" s="5">
        <v>0</v>
      </c>
      <c r="I10" s="5" t="str">
        <f t="shared" si="2"/>
        <v>-</v>
      </c>
      <c r="J10" s="5">
        <f t="shared" si="3"/>
        <v>0</v>
      </c>
    </row>
    <row r="11" spans="1:10" x14ac:dyDescent="0.3">
      <c r="A11" s="5" t="s">
        <v>47</v>
      </c>
      <c r="B11" s="5" t="s">
        <v>48</v>
      </c>
      <c r="C11" s="5" t="s">
        <v>71</v>
      </c>
      <c r="D11" s="5">
        <v>320000</v>
      </c>
      <c r="E11" s="5">
        <v>0</v>
      </c>
      <c r="F11" s="5">
        <f t="shared" si="0"/>
        <v>-320000</v>
      </c>
      <c r="G11" s="5">
        <f t="shared" si="1"/>
        <v>-1</v>
      </c>
      <c r="H11" s="5">
        <v>0</v>
      </c>
      <c r="I11" s="5" t="str">
        <f t="shared" si="2"/>
        <v>-</v>
      </c>
      <c r="J11" s="5">
        <f t="shared" si="3"/>
        <v>0</v>
      </c>
    </row>
    <row r="12" spans="1:10" x14ac:dyDescent="0.3">
      <c r="A12" s="5" t="s">
        <v>51</v>
      </c>
      <c r="B12" s="5" t="s">
        <v>52</v>
      </c>
      <c r="C12" s="5" t="s">
        <v>72</v>
      </c>
      <c r="D12" s="5">
        <v>40000</v>
      </c>
      <c r="E12" s="5">
        <v>0</v>
      </c>
      <c r="F12" s="5">
        <f t="shared" si="0"/>
        <v>-40000</v>
      </c>
      <c r="G12" s="5">
        <f t="shared" si="1"/>
        <v>-1</v>
      </c>
      <c r="H12" s="5">
        <v>0</v>
      </c>
      <c r="I12" s="5" t="str">
        <f t="shared" si="2"/>
        <v>-</v>
      </c>
      <c r="J12" s="5">
        <f t="shared" si="3"/>
        <v>0</v>
      </c>
    </row>
    <row r="13" spans="1:10" x14ac:dyDescent="0.3">
      <c r="A13" s="5" t="s">
        <v>55</v>
      </c>
      <c r="B13" s="5" t="s">
        <v>73</v>
      </c>
      <c r="C13" s="5" t="s">
        <v>74</v>
      </c>
      <c r="D13" s="5">
        <v>25000</v>
      </c>
      <c r="E13" s="5">
        <v>0</v>
      </c>
      <c r="F13" s="5">
        <f t="shared" si="0"/>
        <v>-25000</v>
      </c>
      <c r="G13" s="5">
        <f t="shared" si="1"/>
        <v>-1</v>
      </c>
      <c r="H13" s="5">
        <v>0</v>
      </c>
      <c r="I13" s="5" t="str">
        <f t="shared" si="2"/>
        <v>-</v>
      </c>
      <c r="J13" s="5">
        <f t="shared" si="3"/>
        <v>0</v>
      </c>
    </row>
    <row r="14" spans="1:10" x14ac:dyDescent="0.3">
      <c r="A14" s="6" t="s">
        <v>75</v>
      </c>
      <c r="B14" s="6"/>
      <c r="C14" s="6" t="s">
        <v>76</v>
      </c>
      <c r="D14" s="6">
        <f>SUM(D2:D13)</f>
        <v>1800000</v>
      </c>
      <c r="E14" s="6">
        <f>SUM(E2:E13)</f>
        <v>946500</v>
      </c>
      <c r="F14" s="6">
        <f>SUM(F2:F13)</f>
        <v>-853500</v>
      </c>
      <c r="G14" s="6"/>
      <c r="H14" s="6">
        <f>SUM(H2:H13)</f>
        <v>783750</v>
      </c>
      <c r="I14" s="6"/>
      <c r="J1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Normal="100" workbookViewId="0">
      <selection sqref="A1:D1"/>
    </sheetView>
  </sheetViews>
  <sheetFormatPr defaultColWidth="8.6640625" defaultRowHeight="14.4" x14ac:dyDescent="0.3"/>
  <cols>
    <col min="1" max="1" width="20" customWidth="1"/>
    <col min="2" max="2" width="24" customWidth="1"/>
    <col min="3" max="3" width="42" customWidth="1"/>
    <col min="4" max="4" width="12" customWidth="1"/>
  </cols>
  <sheetData>
    <row r="1" spans="1:4" ht="27.75" customHeight="1" x14ac:dyDescent="0.3">
      <c r="A1" s="3" t="s">
        <v>77</v>
      </c>
      <c r="B1" s="3"/>
      <c r="C1" s="3"/>
      <c r="D1" s="3"/>
    </row>
    <row r="2" spans="1:4" x14ac:dyDescent="0.3">
      <c r="A2" s="7" t="s">
        <v>78</v>
      </c>
      <c r="B2" s="7" t="s">
        <v>79</v>
      </c>
      <c r="C2" s="7" t="s">
        <v>80</v>
      </c>
      <c r="D2" s="7" t="s">
        <v>81</v>
      </c>
    </row>
    <row r="3" spans="1:4" x14ac:dyDescent="0.3">
      <c r="A3" s="5" t="s">
        <v>82</v>
      </c>
      <c r="B3" s="8" t="s">
        <v>0</v>
      </c>
      <c r="C3" s="8" t="s">
        <v>83</v>
      </c>
      <c r="D3" s="5" t="s">
        <v>84</v>
      </c>
    </row>
    <row r="4" spans="1:4" x14ac:dyDescent="0.3">
      <c r="A4" s="5" t="s">
        <v>85</v>
      </c>
      <c r="B4" s="8" t="s">
        <v>1</v>
      </c>
      <c r="C4" s="8" t="s">
        <v>86</v>
      </c>
      <c r="D4" s="5" t="s">
        <v>84</v>
      </c>
    </row>
    <row r="5" spans="1:4" x14ac:dyDescent="0.3">
      <c r="A5" s="5" t="s">
        <v>87</v>
      </c>
      <c r="B5" s="8" t="s">
        <v>4</v>
      </c>
      <c r="C5" s="8" t="s">
        <v>88</v>
      </c>
      <c r="D5" s="5" t="s">
        <v>84</v>
      </c>
    </row>
    <row r="6" spans="1:4" x14ac:dyDescent="0.3">
      <c r="A6" s="5" t="s">
        <v>89</v>
      </c>
      <c r="B6" s="8" t="s">
        <v>5</v>
      </c>
      <c r="C6" s="8" t="s">
        <v>90</v>
      </c>
      <c r="D6" s="5" t="s">
        <v>84</v>
      </c>
    </row>
    <row r="7" spans="1:4" x14ac:dyDescent="0.3">
      <c r="A7" s="5" t="s">
        <v>91</v>
      </c>
      <c r="B7" s="8" t="s">
        <v>6</v>
      </c>
      <c r="C7" s="8" t="s">
        <v>92</v>
      </c>
      <c r="D7" s="5" t="s">
        <v>84</v>
      </c>
    </row>
    <row r="8" spans="1:4" x14ac:dyDescent="0.3">
      <c r="A8" s="5" t="s">
        <v>93</v>
      </c>
      <c r="B8" s="8" t="s">
        <v>7</v>
      </c>
      <c r="C8" s="8" t="s">
        <v>94</v>
      </c>
      <c r="D8" s="5" t="s">
        <v>95</v>
      </c>
    </row>
    <row r="9" spans="1:4" x14ac:dyDescent="0.3">
      <c r="A9" s="5" t="s">
        <v>96</v>
      </c>
      <c r="B9" s="8" t="s">
        <v>10</v>
      </c>
      <c r="C9" s="8" t="s">
        <v>97</v>
      </c>
      <c r="D9" s="5" t="s">
        <v>84</v>
      </c>
    </row>
    <row r="10" spans="1:4" x14ac:dyDescent="0.3">
      <c r="A10" s="5" t="s">
        <v>98</v>
      </c>
      <c r="B10" s="8" t="s">
        <v>11</v>
      </c>
      <c r="C10" s="8" t="s">
        <v>99</v>
      </c>
      <c r="D10" s="5" t="s">
        <v>84</v>
      </c>
    </row>
    <row r="11" spans="1:4" x14ac:dyDescent="0.3">
      <c r="A11" s="5" t="s">
        <v>100</v>
      </c>
      <c r="B11" s="8" t="s">
        <v>12</v>
      </c>
      <c r="C11" s="8" t="s">
        <v>101</v>
      </c>
      <c r="D11" s="5" t="s">
        <v>95</v>
      </c>
    </row>
    <row r="12" spans="1:4" x14ac:dyDescent="0.3">
      <c r="A12" s="5" t="s">
        <v>102</v>
      </c>
      <c r="B12" s="8" t="s">
        <v>60</v>
      </c>
      <c r="C12" s="8" t="s">
        <v>103</v>
      </c>
      <c r="D12" s="5" t="s">
        <v>84</v>
      </c>
    </row>
    <row r="13" spans="1:4" x14ac:dyDescent="0.3">
      <c r="A13" s="5" t="s">
        <v>104</v>
      </c>
      <c r="B13" s="8" t="s">
        <v>61</v>
      </c>
      <c r="C13" s="8" t="s">
        <v>105</v>
      </c>
      <c r="D13" s="5" t="s">
        <v>84</v>
      </c>
    </row>
    <row r="14" spans="1:4" x14ac:dyDescent="0.3">
      <c r="A14" s="5" t="s">
        <v>106</v>
      </c>
      <c r="B14" s="8" t="s">
        <v>64</v>
      </c>
      <c r="C14" s="8" t="s">
        <v>107</v>
      </c>
      <c r="D14" s="5" t="s">
        <v>108</v>
      </c>
    </row>
    <row r="16" spans="1:4" x14ac:dyDescent="0.3">
      <c r="A16" s="2" t="s">
        <v>109</v>
      </c>
      <c r="B16" s="2"/>
      <c r="C16" s="2"/>
      <c r="D16" s="2"/>
    </row>
    <row r="17" spans="1:4" x14ac:dyDescent="0.3">
      <c r="A17" s="1" t="s">
        <v>110</v>
      </c>
      <c r="B17" s="1"/>
      <c r="C17" s="1"/>
      <c r="D17" s="1"/>
    </row>
    <row r="18" spans="1:4" x14ac:dyDescent="0.3">
      <c r="A18" s="1" t="s">
        <v>111</v>
      </c>
      <c r="B18" s="1"/>
      <c r="C18" s="1"/>
      <c r="D18" s="1"/>
    </row>
    <row r="19" spans="1:4" x14ac:dyDescent="0.3">
      <c r="A19" s="1" t="s">
        <v>112</v>
      </c>
      <c r="B19" s="1"/>
      <c r="C19" s="1"/>
      <c r="D19" s="1"/>
    </row>
  </sheetData>
  <mergeCells count="5">
    <mergeCell ref="A1:D1"/>
    <mergeCell ref="A16:D16"/>
    <mergeCell ref="A17:D17"/>
    <mergeCell ref="A18:D1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Project_Tasks</vt:lpstr>
      <vt:lpstr>Cost_Tracker</vt:lpstr>
      <vt:lpstr>⚙️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anand rai</cp:lastModifiedBy>
  <cp:revision>0</cp:revision>
  <dcterms:created xsi:type="dcterms:W3CDTF">2026-06-18T16:51:12Z</dcterms:created>
  <dcterms:modified xsi:type="dcterms:W3CDTF">2026-06-19T08:36:42Z</dcterms:modified>
  <dc:language>en-US</dc:language>
</cp:coreProperties>
</file>